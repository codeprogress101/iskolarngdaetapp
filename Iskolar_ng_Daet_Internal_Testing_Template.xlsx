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  <sheet name="QA_Summary" sheetId="2" state="visible" r:id="rId2"/>
    <sheet name="Tester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1" fillId="3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2" customWidth="1" min="28" max="28"/>
    <col width="22" customWidth="1" min="29" max="29"/>
    <col width="30" customWidth="1" min="30" max="30"/>
    <col width="30" customWidth="1" min="31" max="31"/>
    <col width="30" customWidth="1" min="32" max="32"/>
    <col width="28" customWidth="1" min="33" max="33"/>
    <col width="30" customWidth="1" min="34" max="34"/>
  </cols>
  <sheetData>
    <row r="1">
      <c r="A1" s="1" t="inlineStr">
        <is>
          <t>Timestamp</t>
        </is>
      </c>
      <c r="B1" s="1" t="inlineStr">
        <is>
          <t>Tester full name</t>
        </is>
      </c>
      <c r="C1" s="1" t="inlineStr">
        <is>
          <t>Google email used for Play opt-in</t>
        </is>
      </c>
      <c r="D1" s="1" t="inlineStr">
        <is>
          <t>Device model</t>
        </is>
      </c>
      <c r="E1" s="1" t="inlineStr">
        <is>
          <t>Android version</t>
        </is>
      </c>
      <c r="F1" s="1" t="inlineStr">
        <is>
          <t>Installed app version</t>
        </is>
      </c>
      <c r="G1" s="1" t="inlineStr">
        <is>
          <t>Opt-in completed from Play link?</t>
        </is>
      </c>
      <c r="H1" s="1" t="inlineStr">
        <is>
          <t>Installed from Play Store?</t>
        </is>
      </c>
      <c r="I1" s="1" t="inlineStr">
        <is>
          <t>Date tested</t>
        </is>
      </c>
      <c r="J1" s="1" t="inlineStr">
        <is>
          <t>Overall result</t>
        </is>
      </c>
      <c r="K1" s="1" t="inlineStr">
        <is>
          <t>TC-01 Install from internal test link</t>
        </is>
      </c>
      <c r="L1" s="1" t="inlineStr">
        <is>
          <t>TC-02 First app launch</t>
        </is>
      </c>
      <c r="M1" s="1" t="inlineStr">
        <is>
          <t>TC-03 Applicant registration</t>
        </is>
      </c>
      <c r="N1" s="1" t="inlineStr">
        <is>
          <t>TC-04 Login (valid)</t>
        </is>
      </c>
      <c r="O1" s="1" t="inlineStr">
        <is>
          <t>TC-05 Login (invalid password)</t>
        </is>
      </c>
      <c r="P1" s="1" t="inlineStr">
        <is>
          <t>TC-06 Forgot password/reset</t>
        </is>
      </c>
      <c r="Q1" s="1" t="inlineStr">
        <is>
          <t>TC-07 Applicant role guard</t>
        </is>
      </c>
      <c r="R1" s="1" t="inlineStr">
        <is>
          <t>TC-08 Dashboard load</t>
        </is>
      </c>
      <c r="S1" s="1" t="inlineStr">
        <is>
          <t>TC-09 Create application</t>
        </is>
      </c>
      <c r="T1" s="1" t="inlineStr">
        <is>
          <t>TC-10 Save draft and continue</t>
        </is>
      </c>
      <c r="U1" s="1" t="inlineStr">
        <is>
          <t>TC-11 Submit application</t>
        </is>
      </c>
      <c r="V1" s="1" t="inlineStr">
        <is>
          <t>TC-12 Applications list/detail tracking</t>
        </is>
      </c>
      <c r="W1" s="1" t="inlineStr">
        <is>
          <t>TC-13 Profile view/edit</t>
        </is>
      </c>
      <c r="X1" s="1" t="inlineStr">
        <is>
          <t>TC-14 Logout and re-login</t>
        </is>
      </c>
      <c r="Y1" s="1" t="inlineStr">
        <is>
          <t>TC-15 Network interruption handling</t>
        </is>
      </c>
      <c r="Z1" s="1" t="inlineStr">
        <is>
          <t>TC-16 Notification/deep link (if enabled)</t>
        </is>
      </c>
      <c r="AA1" s="1" t="inlineStr">
        <is>
          <t>TC-17 Update to latest internal build</t>
        </is>
      </c>
      <c r="AB1" s="1" t="inlineStr">
        <is>
          <t>Failed TC IDs (comma-separated)</t>
        </is>
      </c>
      <c r="AC1" s="1" t="inlineStr">
        <is>
          <t>Bug severity</t>
        </is>
      </c>
      <c r="AD1" s="1" t="inlineStr">
        <is>
          <t>Steps to reproduce</t>
        </is>
      </c>
      <c r="AE1" s="1" t="inlineStr">
        <is>
          <t>Expected result</t>
        </is>
      </c>
      <c r="AF1" s="1" t="inlineStr">
        <is>
          <t>Actual result</t>
        </is>
      </c>
      <c r="AG1" s="1" t="inlineStr">
        <is>
          <t>Screenshot/video link</t>
        </is>
      </c>
      <c r="AH1" s="1" t="inlineStr">
        <is>
          <t>Additional comments</t>
        </is>
      </c>
    </row>
  </sheetData>
  <dataValidations count="4">
    <dataValidation sqref="K2:K1000 L2:L1000 M2:M1000 N2:N1000 O2:O1000 P2:P1000 Q2:Q1000 R2:R1000 S2:S1000 T2:T1000 U2:U1000 V2:V1000 W2:W1000 X2:X1000 Y2:Y1000 Z2:Z1000 AA2:AA1000" showDropDown="0" showInputMessage="0" showErrorMessage="0" allowBlank="1" type="list">
      <formula1>"Pass,Fail,Not tested"</formula1>
    </dataValidation>
    <dataValidation sqref="G2:G1000 H2:H1000" showDropDown="0" showInputMessage="0" showErrorMessage="0" allowBlank="1" type="list">
      <formula1>"Yes,No"</formula1>
    </dataValidation>
    <dataValidation sqref="J2:J1000" showDropDown="0" showInputMessage="0" showErrorMessage="0" allowBlank="1" type="list">
      <formula1>"Passed,Passed with minor issues,Failed"</formula1>
    </dataValidation>
    <dataValidation sqref="AC2:AC1000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32" customWidth="1" min="8" max="8"/>
    <col width="28" customWidth="1" min="9" max="9"/>
  </cols>
  <sheetData>
    <row r="1">
      <c r="A1" s="2" t="inlineStr">
        <is>
          <t>TC ID</t>
        </is>
      </c>
      <c r="B1" s="2" t="inlineStr">
        <is>
          <t>Pass</t>
        </is>
      </c>
      <c r="C1" s="2" t="inlineStr">
        <is>
          <t>Fail</t>
        </is>
      </c>
      <c r="D1" s="2" t="inlineStr">
        <is>
          <t>Not tested</t>
        </is>
      </c>
      <c r="E1" s="2" t="inlineStr">
        <is>
          <t>Pass rate</t>
        </is>
      </c>
      <c r="H1" s="3" t="inlineStr">
        <is>
          <t>Metric</t>
        </is>
      </c>
      <c r="I1" s="3" t="inlineStr">
        <is>
          <t>Value</t>
        </is>
      </c>
    </row>
    <row r="2">
      <c r="A2" t="inlineStr">
        <is>
          <t>TC-01</t>
        </is>
      </c>
      <c r="B2">
        <f>COUNTIF(INDEX('Form Responses 1'!$A:$ZZ,0,MATCH($A2&amp;"*",'Form Responses 1'!$1:$1,0)),"Pass")</f>
        <v/>
      </c>
      <c r="C2">
        <f>COUNTIF(INDEX('Form Responses 1'!$A:$ZZ,0,MATCH($A2&amp;"*",'Form Responses 1'!$1:$1,0)),"Fail")</f>
        <v/>
      </c>
      <c r="D2">
        <f>COUNTIF(INDEX('Form Responses 1'!$A:$ZZ,0,MATCH($A2&amp;"*",'Form Responses 1'!$1:$1,0)),"Not tested")</f>
        <v/>
      </c>
      <c r="E2" s="4">
        <f>IFERROR(B2/(B2+C2),0)</f>
        <v/>
      </c>
      <c r="H2" t="inlineStr">
        <is>
          <t>Total submissions</t>
        </is>
      </c>
      <c r="I2">
        <f>COUNTA('Form Responses 1'!A2:A1000)</f>
        <v/>
      </c>
    </row>
    <row r="3">
      <c r="A3" t="inlineStr">
        <is>
          <t>TC-02</t>
        </is>
      </c>
      <c r="B3">
        <f>COUNTIF(INDEX('Form Responses 1'!$A:$ZZ,0,MATCH($A3&amp;"*",'Form Responses 1'!$1:$1,0)),"Pass")</f>
        <v/>
      </c>
      <c r="C3">
        <f>COUNTIF(INDEX('Form Responses 1'!$A:$ZZ,0,MATCH($A3&amp;"*",'Form Responses 1'!$1:$1,0)),"Fail")</f>
        <v/>
      </c>
      <c r="D3">
        <f>COUNTIF(INDEX('Form Responses 1'!$A:$ZZ,0,MATCH($A3&amp;"*",'Form Responses 1'!$1:$1,0)),"Not tested")</f>
        <v/>
      </c>
      <c r="E3" s="4">
        <f>IFERROR(B3/(B3+C3),0)</f>
        <v/>
      </c>
      <c r="H3" t="inlineStr">
        <is>
          <t>Unique testers</t>
        </is>
      </c>
      <c r="I3">
        <f>COUNTA(UNIQUE(FILTER('Form Responses 1'!C2:C1000,'Form Responses 1'!C2:C1000&lt;&gt;"")))</f>
        <v/>
      </c>
    </row>
    <row r="4">
      <c r="A4" t="inlineStr">
        <is>
          <t>TC-03</t>
        </is>
      </c>
      <c r="B4">
        <f>COUNTIF(INDEX('Form Responses 1'!$A:$ZZ,0,MATCH($A4&amp;"*",'Form Responses 1'!$1:$1,0)),"Pass")</f>
        <v/>
      </c>
      <c r="C4">
        <f>COUNTIF(INDEX('Form Responses 1'!$A:$ZZ,0,MATCH($A4&amp;"*",'Form Responses 1'!$1:$1,0)),"Fail")</f>
        <v/>
      </c>
      <c r="D4">
        <f>COUNTIF(INDEX('Form Responses 1'!$A:$ZZ,0,MATCH($A4&amp;"*",'Form Responses 1'!$1:$1,0)),"Not tested")</f>
        <v/>
      </c>
      <c r="E4" s="4">
        <f>IFERROR(B4/(B4+C4),0)</f>
        <v/>
      </c>
      <c r="H4" t="inlineStr">
        <is>
          <t>Overall Passed</t>
        </is>
      </c>
      <c r="I4">
        <f>COUNTIF('Form Responses 1'!J2:J1000,"Passed")</f>
        <v/>
      </c>
    </row>
    <row r="5">
      <c r="A5" t="inlineStr">
        <is>
          <t>TC-04</t>
        </is>
      </c>
      <c r="B5">
        <f>COUNTIF(INDEX('Form Responses 1'!$A:$ZZ,0,MATCH($A5&amp;"*",'Form Responses 1'!$1:$1,0)),"Pass")</f>
        <v/>
      </c>
      <c r="C5">
        <f>COUNTIF(INDEX('Form Responses 1'!$A:$ZZ,0,MATCH($A5&amp;"*",'Form Responses 1'!$1:$1,0)),"Fail")</f>
        <v/>
      </c>
      <c r="D5">
        <f>COUNTIF(INDEX('Form Responses 1'!$A:$ZZ,0,MATCH($A5&amp;"*",'Form Responses 1'!$1:$1,0)),"Not tested")</f>
        <v/>
      </c>
      <c r="E5" s="4">
        <f>IFERROR(B5/(B5+C5),0)</f>
        <v/>
      </c>
      <c r="H5" t="inlineStr">
        <is>
          <t>Blocker issues</t>
        </is>
      </c>
      <c r="I5">
        <f>COUNTIF('Form Responses 1'!AC2:AC1000,"Blocker")</f>
        <v/>
      </c>
    </row>
    <row r="6">
      <c r="A6" t="inlineStr">
        <is>
          <t>TC-05</t>
        </is>
      </c>
      <c r="B6">
        <f>COUNTIF(INDEX('Form Responses 1'!$A:$ZZ,0,MATCH($A6&amp;"*",'Form Responses 1'!$1:$1,0)),"Pass")</f>
        <v/>
      </c>
      <c r="C6">
        <f>COUNTIF(INDEX('Form Responses 1'!$A:$ZZ,0,MATCH($A6&amp;"*",'Form Responses 1'!$1:$1,0)),"Fail")</f>
        <v/>
      </c>
      <c r="D6">
        <f>COUNTIF(INDEX('Form Responses 1'!$A:$ZZ,0,MATCH($A6&amp;"*",'Form Responses 1'!$1:$1,0)),"Not tested")</f>
        <v/>
      </c>
      <c r="E6" s="4">
        <f>IFERROR(B6/(B6+C6),0)</f>
        <v/>
      </c>
      <c r="H6" t="inlineStr">
        <is>
          <t>Critical issues</t>
        </is>
      </c>
      <c r="I6">
        <f>COUNTIF('Form Responses 1'!AC2:AC1000,"Critical")</f>
        <v/>
      </c>
    </row>
    <row r="7">
      <c r="A7" t="inlineStr">
        <is>
          <t>TC-06</t>
        </is>
      </c>
      <c r="B7">
        <f>COUNTIF(INDEX('Form Responses 1'!$A:$ZZ,0,MATCH($A7&amp;"*",'Form Responses 1'!$1:$1,0)),"Pass")</f>
        <v/>
      </c>
      <c r="C7">
        <f>COUNTIF(INDEX('Form Responses 1'!$A:$ZZ,0,MATCH($A7&amp;"*",'Form Responses 1'!$1:$1,0)),"Fail")</f>
        <v/>
      </c>
      <c r="D7">
        <f>COUNTIF(INDEX('Form Responses 1'!$A:$ZZ,0,MATCH($A7&amp;"*",'Form Responses 1'!$1:$1,0)),"Not tested")</f>
        <v/>
      </c>
      <c r="E7" s="4">
        <f>IFERROR(B7/(B7+C7),0)</f>
        <v/>
      </c>
      <c r="H7" t="inlineStr">
        <is>
          <t>Release gate</t>
        </is>
      </c>
      <c r="I7">
        <f>IF(AND(I5=0,I6=0,MIN(E2:E18)&gt;=0.95),"READY FOR NEXT TRACK","NOT READY")</f>
        <v/>
      </c>
    </row>
    <row r="8">
      <c r="A8" t="inlineStr">
        <is>
          <t>TC-07</t>
        </is>
      </c>
      <c r="B8">
        <f>COUNTIF(INDEX('Form Responses 1'!$A:$ZZ,0,MATCH($A8&amp;"*",'Form Responses 1'!$1:$1,0)),"Pass")</f>
        <v/>
      </c>
      <c r="C8">
        <f>COUNTIF(INDEX('Form Responses 1'!$A:$ZZ,0,MATCH($A8&amp;"*",'Form Responses 1'!$1:$1,0)),"Fail")</f>
        <v/>
      </c>
      <c r="D8">
        <f>COUNTIF(INDEX('Form Responses 1'!$A:$ZZ,0,MATCH($A8&amp;"*",'Form Responses 1'!$1:$1,0)),"Not tested")</f>
        <v/>
      </c>
      <c r="E8" s="4">
        <f>IFERROR(B8/(B8+C8),0)</f>
        <v/>
      </c>
    </row>
    <row r="9">
      <c r="A9" t="inlineStr">
        <is>
          <t>TC-08</t>
        </is>
      </c>
      <c r="B9">
        <f>COUNTIF(INDEX('Form Responses 1'!$A:$ZZ,0,MATCH($A9&amp;"*",'Form Responses 1'!$1:$1,0)),"Pass")</f>
        <v/>
      </c>
      <c r="C9">
        <f>COUNTIF(INDEX('Form Responses 1'!$A:$ZZ,0,MATCH($A9&amp;"*",'Form Responses 1'!$1:$1,0)),"Fail")</f>
        <v/>
      </c>
      <c r="D9">
        <f>COUNTIF(INDEX('Form Responses 1'!$A:$ZZ,0,MATCH($A9&amp;"*",'Form Responses 1'!$1:$1,0)),"Not tested")</f>
        <v/>
      </c>
      <c r="E9" s="4">
        <f>IFERROR(B9/(B9+C9),0)</f>
        <v/>
      </c>
    </row>
    <row r="10">
      <c r="A10" t="inlineStr">
        <is>
          <t>TC-09</t>
        </is>
      </c>
      <c r="B10">
        <f>COUNTIF(INDEX('Form Responses 1'!$A:$ZZ,0,MATCH($A10&amp;"*",'Form Responses 1'!$1:$1,0)),"Pass")</f>
        <v/>
      </c>
      <c r="C10">
        <f>COUNTIF(INDEX('Form Responses 1'!$A:$ZZ,0,MATCH($A10&amp;"*",'Form Responses 1'!$1:$1,0)),"Fail")</f>
        <v/>
      </c>
      <c r="D10">
        <f>COUNTIF(INDEX('Form Responses 1'!$A:$ZZ,0,MATCH($A10&amp;"*",'Form Responses 1'!$1:$1,0)),"Not tested")</f>
        <v/>
      </c>
      <c r="E10" s="4">
        <f>IFERROR(B10/(B10+C10),0)</f>
        <v/>
      </c>
    </row>
    <row r="11">
      <c r="A11" t="inlineStr">
        <is>
          <t>TC-10</t>
        </is>
      </c>
      <c r="B11">
        <f>COUNTIF(INDEX('Form Responses 1'!$A:$ZZ,0,MATCH($A11&amp;"*",'Form Responses 1'!$1:$1,0)),"Pass")</f>
        <v/>
      </c>
      <c r="C11">
        <f>COUNTIF(INDEX('Form Responses 1'!$A:$ZZ,0,MATCH($A11&amp;"*",'Form Responses 1'!$1:$1,0)),"Fail")</f>
        <v/>
      </c>
      <c r="D11">
        <f>COUNTIF(INDEX('Form Responses 1'!$A:$ZZ,0,MATCH($A11&amp;"*",'Form Responses 1'!$1:$1,0)),"Not tested")</f>
        <v/>
      </c>
      <c r="E11" s="4">
        <f>IFERROR(B11/(B11+C11),0)</f>
        <v/>
      </c>
    </row>
    <row r="12">
      <c r="A12" t="inlineStr">
        <is>
          <t>TC-11</t>
        </is>
      </c>
      <c r="B12">
        <f>COUNTIF(INDEX('Form Responses 1'!$A:$ZZ,0,MATCH($A12&amp;"*",'Form Responses 1'!$1:$1,0)),"Pass")</f>
        <v/>
      </c>
      <c r="C12">
        <f>COUNTIF(INDEX('Form Responses 1'!$A:$ZZ,0,MATCH($A12&amp;"*",'Form Responses 1'!$1:$1,0)),"Fail")</f>
        <v/>
      </c>
      <c r="D12">
        <f>COUNTIF(INDEX('Form Responses 1'!$A:$ZZ,0,MATCH($A12&amp;"*",'Form Responses 1'!$1:$1,0)),"Not tested")</f>
        <v/>
      </c>
      <c r="E12" s="4">
        <f>IFERROR(B12/(B12+C12),0)</f>
        <v/>
      </c>
    </row>
    <row r="13">
      <c r="A13" t="inlineStr">
        <is>
          <t>TC-12</t>
        </is>
      </c>
      <c r="B13">
        <f>COUNTIF(INDEX('Form Responses 1'!$A:$ZZ,0,MATCH($A13&amp;"*",'Form Responses 1'!$1:$1,0)),"Pass")</f>
        <v/>
      </c>
      <c r="C13">
        <f>COUNTIF(INDEX('Form Responses 1'!$A:$ZZ,0,MATCH($A13&amp;"*",'Form Responses 1'!$1:$1,0)),"Fail")</f>
        <v/>
      </c>
      <c r="D13">
        <f>COUNTIF(INDEX('Form Responses 1'!$A:$ZZ,0,MATCH($A13&amp;"*",'Form Responses 1'!$1:$1,0)),"Not tested")</f>
        <v/>
      </c>
      <c r="E13" s="4">
        <f>IFERROR(B13/(B13+C13),0)</f>
        <v/>
      </c>
    </row>
    <row r="14">
      <c r="A14" t="inlineStr">
        <is>
          <t>TC-13</t>
        </is>
      </c>
      <c r="B14">
        <f>COUNTIF(INDEX('Form Responses 1'!$A:$ZZ,0,MATCH($A14&amp;"*",'Form Responses 1'!$1:$1,0)),"Pass")</f>
        <v/>
      </c>
      <c r="C14">
        <f>COUNTIF(INDEX('Form Responses 1'!$A:$ZZ,0,MATCH($A14&amp;"*",'Form Responses 1'!$1:$1,0)),"Fail")</f>
        <v/>
      </c>
      <c r="D14">
        <f>COUNTIF(INDEX('Form Responses 1'!$A:$ZZ,0,MATCH($A14&amp;"*",'Form Responses 1'!$1:$1,0)),"Not tested")</f>
        <v/>
      </c>
      <c r="E14" s="4">
        <f>IFERROR(B14/(B14+C14),0)</f>
        <v/>
      </c>
    </row>
    <row r="15">
      <c r="A15" t="inlineStr">
        <is>
          <t>TC-14</t>
        </is>
      </c>
      <c r="B15">
        <f>COUNTIF(INDEX('Form Responses 1'!$A:$ZZ,0,MATCH($A15&amp;"*",'Form Responses 1'!$1:$1,0)),"Pass")</f>
        <v/>
      </c>
      <c r="C15">
        <f>COUNTIF(INDEX('Form Responses 1'!$A:$ZZ,0,MATCH($A15&amp;"*",'Form Responses 1'!$1:$1,0)),"Fail")</f>
        <v/>
      </c>
      <c r="D15">
        <f>COUNTIF(INDEX('Form Responses 1'!$A:$ZZ,0,MATCH($A15&amp;"*",'Form Responses 1'!$1:$1,0)),"Not tested")</f>
        <v/>
      </c>
      <c r="E15" s="4">
        <f>IFERROR(B15/(B15+C15),0)</f>
        <v/>
      </c>
    </row>
    <row r="16">
      <c r="A16" t="inlineStr">
        <is>
          <t>TC-15</t>
        </is>
      </c>
      <c r="B16">
        <f>COUNTIF(INDEX('Form Responses 1'!$A:$ZZ,0,MATCH($A16&amp;"*",'Form Responses 1'!$1:$1,0)),"Pass")</f>
        <v/>
      </c>
      <c r="C16">
        <f>COUNTIF(INDEX('Form Responses 1'!$A:$ZZ,0,MATCH($A16&amp;"*",'Form Responses 1'!$1:$1,0)),"Fail")</f>
        <v/>
      </c>
      <c r="D16">
        <f>COUNTIF(INDEX('Form Responses 1'!$A:$ZZ,0,MATCH($A16&amp;"*",'Form Responses 1'!$1:$1,0)),"Not tested")</f>
        <v/>
      </c>
      <c r="E16" s="4">
        <f>IFERROR(B16/(B16+C16),0)</f>
        <v/>
      </c>
    </row>
    <row r="17">
      <c r="A17" t="inlineStr">
        <is>
          <t>TC-16</t>
        </is>
      </c>
      <c r="B17">
        <f>COUNTIF(INDEX('Form Responses 1'!$A:$ZZ,0,MATCH($A17&amp;"*",'Form Responses 1'!$1:$1,0)),"Pass")</f>
        <v/>
      </c>
      <c r="C17">
        <f>COUNTIF(INDEX('Form Responses 1'!$A:$ZZ,0,MATCH($A17&amp;"*",'Form Responses 1'!$1:$1,0)),"Fail")</f>
        <v/>
      </c>
      <c r="D17">
        <f>COUNTIF(INDEX('Form Responses 1'!$A:$ZZ,0,MATCH($A17&amp;"*",'Form Responses 1'!$1:$1,0)),"Not tested")</f>
        <v/>
      </c>
      <c r="E17" s="4">
        <f>IFERROR(B17/(B17+C17),0)</f>
        <v/>
      </c>
    </row>
    <row r="18">
      <c r="A18" t="inlineStr">
        <is>
          <t>TC-17</t>
        </is>
      </c>
      <c r="B18">
        <f>COUNTIF(INDEX('Form Responses 1'!$A:$ZZ,0,MATCH($A18&amp;"*",'Form Responses 1'!$1:$1,0)),"Pass")</f>
        <v/>
      </c>
      <c r="C18">
        <f>COUNTIF(INDEX('Form Responses 1'!$A:$ZZ,0,MATCH($A18&amp;"*",'Form Responses 1'!$1:$1,0)),"Fail")</f>
        <v/>
      </c>
      <c r="D18">
        <f>COUNTIF(INDEX('Form Responses 1'!$A:$ZZ,0,MATCH($A18&amp;"*",'Form Responses 1'!$1:$1,0)),"Not tested")</f>
        <v/>
      </c>
      <c r="E18" s="4">
        <f>IFERROR(B18/(B18+C18),0)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Iskolar ng Daet - Tester Guide</t>
        </is>
      </c>
    </row>
    <row r="3">
      <c r="A3" t="inlineStr">
        <is>
          <t>1) Add testers in Play Console (Internal testing or Closed testing).</t>
        </is>
      </c>
    </row>
    <row r="4">
      <c r="A4" t="inlineStr">
        <is>
          <t>2) Share opt-in link with testers.</t>
        </is>
      </c>
    </row>
    <row r="5">
      <c r="A5" t="inlineStr">
        <is>
          <t>3) Testers must install from Play and run TC-01 to TC-17.</t>
        </is>
      </c>
    </row>
    <row r="6">
      <c r="A6" t="inlineStr">
        <is>
          <t>4) Each tester fills one row per test run in 'Form Responses 1'.</t>
        </is>
      </c>
    </row>
    <row r="7">
      <c r="A7" t="inlineStr">
        <is>
          <t>5) Use 'QA_Summary' for pass/fail rollup and release readiness.</t>
        </is>
      </c>
    </row>
    <row r="8">
      <c r="A8" t="inlineStr"/>
    </row>
    <row r="9">
      <c r="A9" t="inlineStr">
        <is>
          <t>Required tester proof:</t>
        </is>
      </c>
    </row>
    <row r="10">
      <c r="A10" t="inlineStr">
        <is>
          <t>- Google email used for opt-in</t>
        </is>
      </c>
    </row>
    <row r="11">
      <c r="A11" t="inlineStr">
        <is>
          <t>- Device model and Android version</t>
        </is>
      </c>
    </row>
    <row r="12">
      <c r="A12" t="inlineStr">
        <is>
          <t>- Installed app version</t>
        </is>
      </c>
    </row>
    <row r="13">
      <c r="A13" t="inlineStr">
        <is>
          <t>- Pass/Fail result per test case</t>
        </is>
      </c>
    </row>
    <row r="14">
      <c r="A14" t="inlineStr">
        <is>
          <t>- Bug details with screenshot/video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2026-03-23T05:51:16Z</dcterms:created>
  <dcterms:modified xsi:type="dcterms:W3CDTF">2026-03-23T05:51:16Z</dcterms:modified>
</cp:coreProperties>
</file>